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r1224\Downloads\"/>
    </mc:Choice>
  </mc:AlternateContent>
  <xr:revisionPtr revIDLastSave="0" documentId="13_ncr:1_{69E21931-E076-44F3-A66C-AEA0F8BF92C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AYMENT SUMMARY-SUPPLIERS" sheetId="53" r:id="rId1"/>
  </sheets>
  <definedNames>
    <definedName name="_xlnm.Print_Area" localSheetId="0">'PAYMENT SUMMARY-SUPPLIERS'!$A$1:$S$10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53" l="1"/>
  <c r="P18" i="53" s="1"/>
  <c r="R18" i="53" s="1"/>
  <c r="N4" i="53" l="1"/>
  <c r="N5" i="53"/>
  <c r="N6" i="53"/>
  <c r="N7" i="53"/>
  <c r="N8" i="53"/>
  <c r="N9" i="53"/>
  <c r="N10" i="53"/>
  <c r="P4" i="53" l="1"/>
  <c r="R4" i="53" s="1"/>
  <c r="P5" i="53"/>
  <c r="R5" i="53" s="1"/>
  <c r="P6" i="53"/>
  <c r="R6" i="53" s="1"/>
  <c r="P7" i="53"/>
  <c r="R7" i="53" s="1"/>
  <c r="P8" i="53"/>
  <c r="R8" i="53" s="1"/>
  <c r="P9" i="53"/>
  <c r="R9" i="53" s="1"/>
  <c r="P10" i="53"/>
  <c r="R10" i="5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tc={4A793899-3A8D-4771-B355-1A7DC6F6111E}</author>
    <author>tc={512136B7-3F03-4EFD-B3E7-703751891A9C}</author>
    <author>tc={0B7B7628-CE04-4BDB-BC31-F7B0A19B61C7}</author>
    <author>tc={D7F27606-1D8B-4F05-911A-3B905A26C9BF}</author>
    <author>tc={8B1CAEA2-FEEE-4431-8139-C048922A2B5E}</author>
    <author>tc={D36425C6-2911-4C4B-9732-8DD209DB4AFB}</author>
    <author>tc={811B6E3D-50EC-4E99-8903-E66B23B95F3A}</author>
  </authors>
  <commentList>
    <comment ref="L5" authorId="0" shapeId="0" xr:uid="{4A793899-3A8D-4771-B355-1A7DC6F6111E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PASSED</t>
      </text>
    </comment>
    <comment ref="L6" authorId="1" shapeId="0" xr:uid="{512136B7-3F03-4EFD-B3E7-703751891A9C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PASSED</t>
      </text>
    </comment>
    <comment ref="L7" authorId="2" shapeId="0" xr:uid="{0B7B7628-CE04-4BDB-BC31-F7B0A19B61C7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PASSED</t>
      </text>
    </comment>
    <comment ref="L8" authorId="3" shapeId="0" xr:uid="{D7F27606-1D8B-4F05-911A-3B905A26C9BF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PASSED</t>
      </text>
    </comment>
    <comment ref="L9" authorId="4" shapeId="0" xr:uid="{8B1CAEA2-FEEE-4431-8139-C048922A2B5E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PASSED</t>
      </text>
    </comment>
    <comment ref="L10" authorId="5" shapeId="0" xr:uid="{D36425C6-2911-4C4B-9732-8DD209DB4AFB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PASSED</t>
      </text>
    </comment>
    <comment ref="L18" authorId="6" shapeId="0" xr:uid="{811B6E3D-50EC-4E99-8903-E66B23B9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PASSED</t>
      </text>
    </comment>
  </commentList>
</comments>
</file>

<file path=xl/sharedStrings.xml><?xml version="1.0" encoding="utf-8"?>
<sst xmlns="http://schemas.openxmlformats.org/spreadsheetml/2006/main" count="69" uniqueCount="41">
  <si>
    <t>SITE</t>
  </si>
  <si>
    <t>CLIENT</t>
  </si>
  <si>
    <t>MONTH</t>
  </si>
  <si>
    <t>PAID AMOUNT</t>
  </si>
  <si>
    <t>STATUS</t>
  </si>
  <si>
    <t xml:space="preserve">  </t>
  </si>
  <si>
    <t>ANB</t>
  </si>
  <si>
    <t>Column1</t>
  </si>
  <si>
    <t>SL.NO</t>
  </si>
  <si>
    <t xml:space="preserve">NAME </t>
  </si>
  <si>
    <t>DESIGNATION</t>
  </si>
  <si>
    <t>IQAMA NO</t>
  </si>
  <si>
    <t>TOTAL</t>
  </si>
  <si>
    <t>PAYMENT SUMMARY 2024-25</t>
  </si>
  <si>
    <t>PENDING AMOUNT</t>
  </si>
  <si>
    <t>REMARKS</t>
  </si>
  <si>
    <t>TOTAL  DUE AMOUNT</t>
  </si>
  <si>
    <t>ADV/BC TAKEN</t>
  </si>
  <si>
    <t>RPH/MONTH</t>
  </si>
  <si>
    <t>NO OF HRS/ MONTH</t>
  </si>
  <si>
    <t>MOB</t>
  </si>
  <si>
    <t>DEMOB</t>
  </si>
  <si>
    <t xml:space="preserve">MOBILIZED </t>
  </si>
  <si>
    <t>SCAFFOLDER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</si>
  <si>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</si>
  <si>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</t>
  </si>
  <si>
    <t>DEMOBILIZED</t>
  </si>
  <si>
    <t>MD RAHATUL ISLAM</t>
  </si>
  <si>
    <t>6X1</t>
  </si>
  <si>
    <t>17/4/2026</t>
  </si>
  <si>
    <t>BAPPI ESHAHAQ MOLLA</t>
  </si>
  <si>
    <t xml:space="preserve">MD LIPON MOLLA </t>
  </si>
  <si>
    <t>MD NAIMUL ISLAM</t>
  </si>
  <si>
    <t>RIDOY BHUIYA</t>
  </si>
  <si>
    <t>MD KALON SARDAR</t>
  </si>
  <si>
    <t>SAJAL SHEIKH</t>
  </si>
  <si>
    <t xml:space="preserve">IMRAN HUSSAIN MUHAMMAD HUSSAIN </t>
  </si>
  <si>
    <t>30/04/2026</t>
  </si>
  <si>
    <t xml:space="preserve">DEMOBILIZED </t>
  </si>
  <si>
    <t>AR RAZI</t>
  </si>
  <si>
    <t xml:space="preserve"> CL-BATCH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</si>
</sst>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20"/>
      <color theme="1"/>
      <name val="ADLaM Display"/>
    </font>
    <font>
      <b/>
      <sz val="11"/>
      <color theme="1"/>
      <name val="Berlin Sans FB Dem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Amasis MT Pro Medium"/>
      <family val="1"/>
    </font>
    <font>
      <b/>
      <sz val="14"/>
      <color theme="1"/>
      <name val="Amasis MT Pro Medium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5" xfId="0" applyFont="1" applyBorder="1"/>
    <xf numFmtId="0" fontId="8" fillId="7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17" fontId="5" fillId="3" borderId="1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17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8" fillId="4" borderId="5" xfId="0" applyFont="1" applyFill="1" applyBorder="1"/>
    <xf numFmtId="14" fontId="8" fillId="0" borderId="3" xfId="0" applyNumberFormat="1" applyFont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17" fontId="8" fillId="0" borderId="3" xfId="0" applyNumberFormat="1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9" xfId="0" applyFont="1" applyBorder="1"/>
    <xf numFmtId="164" fontId="6" fillId="2" borderId="0" xfId="0" quotePrefix="1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3" borderId="5" xfId="0" applyFont="1" applyFill="1" applyBorder="1"/>
    <xf numFmtId="0" fontId="3" fillId="5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27"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numFmt numFmtId="19" formatCode="m/d/yy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A9D08E"/>
          <bgColor rgb="FF000000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family val="2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erlin Sans FB Dem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CC00"/>
      <color rgb="FF66FF33"/>
      <color rgb="FFCC99FF"/>
      <color rgb="FFFF3399"/>
      <color rgb="FF996600"/>
      <color rgb="FF00808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and arabia General Contracting" id="{2B4A1513-3353-4E90-98E0-AF256C2AF583}" userId="2ab58354ba224668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73B5A-2C8F-4AC0-9319-ADFE7B124EEB}" name="Table1" displayName="Table1" ref="A3:T10" totalsRowShown="0" headerRowDxfId="26" dataDxfId="24" headerRowBorderDxfId="25" tableBorderDxfId="23">
  <autoFilter ref="A3:T10" xr:uid="{1FC73B5A-2C8F-4AC0-9319-ADFE7B124EEB}"/>
  <sortState xmlns:xlrd2="http://schemas.microsoft.com/office/spreadsheetml/2017/richdata2" ref="A4:T10">
    <sortCondition sortBy="cellColor" ref="B3:B10" dxfId="22"/>
  </sortState>
  <tableColumns count="20">
    <tableColumn id="1" xr3:uid="{CFE8D1EA-823E-465B-B733-D9A4BFDA83A8}" name="SL.NO" dataDxfId="21"/>
    <tableColumn id="2" xr3:uid="{AB11BF53-660E-4399-B71D-EF91CA8D2082}" name="NAME " dataDxfId="20"/>
    <tableColumn id="20" xr3:uid="{80BAA40C-8DD8-42BE-AC07-80BE293C5092}" name=" CL-BATCH NO" dataDxfId="19"/>
    <tableColumn id="3" xr3:uid="{F6BE0C61-88B1-432E-A32F-D0DD128478F3}" name="IQAMA NO" dataDxfId="18"/>
    <tableColumn id="15" xr3:uid="{44EF55D2-B511-4C07-942D-E03520820D63}" name="CLIENT" dataDxfId="17"/>
    <tableColumn id="4" xr3:uid="{6E4111ED-22E4-44E1-8F83-2B69F6E497B2}" name="SITE" dataDxfId="16"/>
    <tableColumn id="5" xr3:uid="{E0955277-4B7B-4972-B30C-4A28A0949E3E}" name="DESIGNATION" dataDxfId="15"/>
    <tableColumn id="17" xr3:uid="{AD3B1FF9-41F4-4A1D-9202-39B6D18F16A7}" name="MOB" dataDxfId="14"/>
    <tableColumn id="16" xr3:uid="{1BEF773E-127D-4E24-B607-0385F7DEA7A4}" name="DEMOB" dataDxfId="13"/>
    <tableColumn id="18" xr3:uid="{21550672-2921-4F39-AC77-C35C50F7464C}" name="STATUS" dataDxfId="12"/>
    <tableColumn id="6" xr3:uid="{657BCB33-AF93-4568-A02F-B0F36BE526A9}" name="MONTH" dataDxfId="11"/>
    <tableColumn id="7" xr3:uid="{1EA2E9B6-529A-47D3-AFF4-C0C10498057B}" name="RPH/MONTH" dataDxfId="10"/>
    <tableColumn id="8" xr3:uid="{192338DF-7479-4EA4-9138-CFF9F8388A92}" name="NO OF HRS/ MONTH" dataDxfId="9"/>
    <tableColumn id="9" xr3:uid="{879B2EC4-6AC6-41A2-BA65-A891BE58D754}" name="TOTAL" dataDxfId="8"/>
    <tableColumn id="10" xr3:uid="{F18565FB-1048-4965-A1DA-C8B869C4042F}" name="ADV/BC TAKEN" dataDxfId="7"/>
    <tableColumn id="11" xr3:uid="{C9FC663B-97FD-41E8-A70E-BE8C83E35539}" name="TOTAL  DUE AMOUNT" dataDxfId="6"/>
    <tableColumn id="12" xr3:uid="{5C703038-DFEE-4075-AE7E-9DE103409334}" name="PAID AMOUNT" dataDxfId="5"/>
    <tableColumn id="13" xr3:uid="{D8D461C0-8E98-45A8-B87C-B230010B0EFE}" name="PENDING AMOUNT" dataDxfId="4"/>
    <tableColumn id="14" xr3:uid="{D713157D-5967-4523-A6F7-122C1446C69C}" name="REMARKS" dataDxfId="3"/>
    <tableColumn id="19" xr3:uid="{955DF938-52AD-4999-94FC-B5E371435744}" name="Column1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" dT="2026-05-12T08:40:12.69" personId="{2B4A1513-3353-4E90-98E0-AF256C2AF583}" id="{4A793899-3A8D-4771-B355-1A7DC6F6111E}">
    <text>TEST PASSED</text>
  </threadedComment>
  <threadedComment ref="L6" dT="2026-05-12T08:40:12.69" personId="{2B4A1513-3353-4E90-98E0-AF256C2AF583}" id="{512136B7-3F03-4EFD-B3E7-703751891A9C}">
    <text>TEST PASSED</text>
  </threadedComment>
  <threadedComment ref="L7" dT="2026-05-12T08:40:12.69" personId="{2B4A1513-3353-4E90-98E0-AF256C2AF583}" id="{0B7B7628-CE04-4BDB-BC31-F7B0A19B61C7}">
    <text>TEST PASSED</text>
  </threadedComment>
  <threadedComment ref="L8" dT="2026-05-12T08:40:12.69" personId="{2B4A1513-3353-4E90-98E0-AF256C2AF583}" id="{D7F27606-1D8B-4F05-911A-3B905A26C9BF}">
    <text>TEST PASSED</text>
  </threadedComment>
  <threadedComment ref="L9" dT="2026-05-12T08:40:12.69" personId="{2B4A1513-3353-4E90-98E0-AF256C2AF583}" id="{8B1CAEA2-FEEE-4431-8139-C048922A2B5E}">
    <text>TEST PASSED</text>
  </threadedComment>
  <threadedComment ref="L10" dT="2026-05-12T08:40:12.69" personId="{2B4A1513-3353-4E90-98E0-AF256C2AF583}" id="{D36425C6-2911-4C4B-9732-8DD209DB4AFB}">
    <text>TEST PASSED</text>
  </threadedComment>
  <threadedComment ref="L18" dT="2026-05-12T08:40:12.69" personId="{2B4A1513-3353-4E90-98E0-AF256C2AF583}" id="{811B6E3D-50EC-4E99-8903-E66B23B95F3A}">
    <text>TEST PASSED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D69C-9A26-48B6-B868-ED4A91415616}">
  <sheetPr>
    <tabColor rgb="FF92D050"/>
    <pageSetUpPr fitToPage="1"/>
  </sheetPr>
  <dimension ref="A1:T30"/>
  <sheetViews>
    <sheetView tabSelected="1" zoomScale="60" zoomScaleNormal="60" zoomScaleSheetLayoutView="39" workbookViewId="0">
      <selection activeCell="S16" sqref="S16"/>
    </sheetView>
  </sheetViews>
  <sheetFormatPr defaultRowHeight="15" x14ac:dyDescent="0.25"/>
  <cols>
    <col min="1" max="1" width="9.28515625" bestFit="1" customWidth="1"/>
    <col min="2" max="2" width="72.85546875" bestFit="1" customWidth="1"/>
    <col min="3" max="3" width="30.5703125" bestFit="1" customWidth="1"/>
    <col min="4" max="4" width="24.28515625" customWidth="1"/>
    <col min="5" max="5" width="14.140625" customWidth="1"/>
    <col min="6" max="6" width="24.85546875" bestFit="1" customWidth="1"/>
    <col min="7" max="7" width="46" bestFit="1" customWidth="1"/>
    <col min="8" max="9" width="17.28515625" customWidth="1"/>
    <col min="10" max="10" width="19.28515625" customWidth="1"/>
    <col min="11" max="11" width="16.85546875" style="21" customWidth="1"/>
    <col min="12" max="12" width="26.28515625" bestFit="1" customWidth="1"/>
    <col min="13" max="13" width="25.85546875" bestFit="1" customWidth="1"/>
    <col min="14" max="14" width="18.28515625" bestFit="1" customWidth="1"/>
    <col min="15" max="15" width="29.85546875" bestFit="1" customWidth="1"/>
    <col min="16" max="16" width="37.7109375" bestFit="1" customWidth="1"/>
    <col min="17" max="17" width="28.42578125" bestFit="1" customWidth="1"/>
    <col min="18" max="18" width="34.42578125" bestFit="1" customWidth="1"/>
    <col min="19" max="19" width="21.85546875" customWidth="1"/>
    <col min="20" max="20" width="33.140625" bestFit="1" customWidth="1"/>
    <col min="21" max="21" width="9.140625" customWidth="1"/>
  </cols>
  <sheetData>
    <row r="1" spans="1:20" ht="15" customHeight="1" x14ac:dyDescent="0.25">
      <c r="A1" s="52" t="s">
        <v>13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0" ht="19.5" customHeigh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</row>
    <row r="3" spans="1:20" ht="36" customHeight="1" x14ac:dyDescent="0.25">
      <c r="A3" s="1" t="s">
        <v>8</v>
      </c>
      <c r="B3" s="2" t="s">
        <v>9</v>
      </c>
      <c r="C3" s="2" t="s">
        <v>40</v>
      </c>
      <c r="D3" s="2" t="s">
        <v>11</v>
      </c>
      <c r="E3" s="2" t="s">
        <v>1</v>
      </c>
      <c r="F3" s="2" t="s">
        <v>0</v>
      </c>
      <c r="G3" s="2" t="s">
        <v>10</v>
      </c>
      <c r="H3" s="2" t="s">
        <v>20</v>
      </c>
      <c r="I3" s="2" t="s">
        <v>21</v>
      </c>
      <c r="J3" s="2" t="s">
        <v>4</v>
      </c>
      <c r="K3" s="2" t="s">
        <v>2</v>
      </c>
      <c r="L3" s="2" t="s">
        <v>18</v>
      </c>
      <c r="M3" s="3" t="s">
        <v>19</v>
      </c>
      <c r="N3" s="2" t="s">
        <v>12</v>
      </c>
      <c r="O3" s="2" t="s">
        <v>17</v>
      </c>
      <c r="P3" s="2" t="s">
        <v>16</v>
      </c>
      <c r="Q3" s="2" t="s">
        <v>3</v>
      </c>
      <c r="R3" s="2" t="s">
        <v>14</v>
      </c>
      <c r="S3" s="4" t="s">
        <v>15</v>
      </c>
      <c r="T3" s="5" t="s">
        <v>7</v>
      </c>
    </row>
    <row r="4" spans="1:20" ht="30" customHeight="1" x14ac:dyDescent="0.3">
      <c r="A4" s="8">
        <v>57</v>
      </c>
      <c r="B4" s="26" t="s">
        <v>31</v>
      </c>
      <c r="C4" s="23">
        <v>76062244</v>
      </c>
      <c r="D4" s="23">
        <v>2540267560</v>
      </c>
      <c r="E4" s="14" t="s">
        <v>6</v>
      </c>
      <c r="F4" s="34" t="s">
        <v>39</v>
      </c>
      <c r="G4" s="14" t="s">
        <v>23</v>
      </c>
      <c r="H4" s="25">
        <v>46238</v>
      </c>
      <c r="I4" s="24" t="s">
        <v>37</v>
      </c>
      <c r="J4" s="14" t="s">
        <v>38</v>
      </c>
      <c r="K4" s="31">
        <v>46138</v>
      </c>
      <c r="L4" s="14">
        <v>16</v>
      </c>
      <c r="M4" s="14">
        <v>146.5</v>
      </c>
      <c r="N4" s="14">
        <f t="shared" ref="N4:N10" si="0">SUM(L4*M4)</f>
        <v>2344</v>
      </c>
      <c r="O4" s="14">
        <v>150</v>
      </c>
      <c r="P4" s="9">
        <f t="shared" ref="P4:P6" si="1">SUM(N4-O4)</f>
        <v>2194</v>
      </c>
      <c r="Q4" s="10">
        <v>2194</v>
      </c>
      <c r="R4" s="9">
        <f t="shared" ref="R4:R10" si="2">SUM(P4-Q4)</f>
        <v>0</v>
      </c>
      <c r="S4" s="51"/>
      <c r="T4" s="14"/>
    </row>
    <row r="5" spans="1:20" ht="30" customHeight="1" x14ac:dyDescent="0.3">
      <c r="A5" s="8">
        <v>58</v>
      </c>
      <c r="B5" s="26" t="s">
        <v>32</v>
      </c>
      <c r="C5" s="23">
        <v>76064207</v>
      </c>
      <c r="D5" s="23">
        <v>2589544366</v>
      </c>
      <c r="E5" s="14" t="s">
        <v>6</v>
      </c>
      <c r="F5" s="34" t="s">
        <v>39</v>
      </c>
      <c r="G5" s="14" t="s">
        <v>23</v>
      </c>
      <c r="H5" s="25">
        <v>46238</v>
      </c>
      <c r="I5" s="24"/>
      <c r="J5" s="14" t="s">
        <v>22</v>
      </c>
      <c r="K5" s="31">
        <v>46138</v>
      </c>
      <c r="L5" s="14">
        <v>15</v>
      </c>
      <c r="M5" s="14">
        <v>158</v>
      </c>
      <c r="N5" s="14">
        <f t="shared" si="0"/>
        <v>2370</v>
      </c>
      <c r="O5" s="14">
        <v>600</v>
      </c>
      <c r="P5" s="9">
        <f t="shared" si="1"/>
        <v>1770</v>
      </c>
      <c r="Q5" s="10">
        <v>1770</v>
      </c>
      <c r="R5" s="9">
        <f t="shared" si="2"/>
        <v>0</v>
      </c>
      <c r="S5" s="51"/>
      <c r="T5" s="11"/>
    </row>
    <row r="6" spans="1:20" ht="30" customHeight="1" x14ac:dyDescent="0.3">
      <c r="A6" s="8">
        <v>60</v>
      </c>
      <c r="B6" s="17" t="s">
        <v>33</v>
      </c>
      <c r="C6" s="18">
        <v>76064209</v>
      </c>
      <c r="D6" s="18">
        <v>2579654785</v>
      </c>
      <c r="E6" s="11" t="s">
        <v>6</v>
      </c>
      <c r="F6" s="34" t="s">
        <v>39</v>
      </c>
      <c r="G6" s="11" t="s">
        <v>23</v>
      </c>
      <c r="H6" s="13">
        <v>46238</v>
      </c>
      <c r="I6" s="19" t="s">
        <v>37</v>
      </c>
      <c r="J6" s="16" t="s">
        <v>26</v>
      </c>
      <c r="K6" s="31">
        <v>46138</v>
      </c>
      <c r="L6" s="11">
        <v>15</v>
      </c>
      <c r="M6" s="11">
        <v>146.5</v>
      </c>
      <c r="N6" s="11">
        <f t="shared" si="0"/>
        <v>2197.5</v>
      </c>
      <c r="O6" s="30">
        <v>200</v>
      </c>
      <c r="P6" s="6">
        <f t="shared" si="1"/>
        <v>1997.5</v>
      </c>
      <c r="Q6" s="27">
        <v>35</v>
      </c>
      <c r="R6" s="6">
        <f t="shared" si="2"/>
        <v>1962.5</v>
      </c>
      <c r="S6" s="15"/>
      <c r="T6" s="11"/>
    </row>
    <row r="7" spans="1:20" ht="30" customHeight="1" x14ac:dyDescent="0.3">
      <c r="A7" s="8">
        <v>61</v>
      </c>
      <c r="B7" s="17" t="s">
        <v>34</v>
      </c>
      <c r="C7" s="18">
        <v>76064210</v>
      </c>
      <c r="D7" s="18">
        <v>2589117411</v>
      </c>
      <c r="E7" s="11" t="s">
        <v>6</v>
      </c>
      <c r="F7" s="34" t="s">
        <v>39</v>
      </c>
      <c r="G7" s="11" t="s">
        <v>23</v>
      </c>
      <c r="H7" s="13">
        <v>46238</v>
      </c>
      <c r="I7" s="20"/>
      <c r="J7" s="14" t="s">
        <v>22</v>
      </c>
      <c r="K7" s="31">
        <v>46138</v>
      </c>
      <c r="L7" s="29">
        <v>15</v>
      </c>
      <c r="M7" s="11">
        <v>151</v>
      </c>
      <c r="N7" s="11">
        <f t="shared" si="0"/>
        <v>2265</v>
      </c>
      <c r="O7" s="30">
        <v>350</v>
      </c>
      <c r="P7" s="6">
        <f t="shared" ref="P7:P10" si="3">SUM(N7-O7)</f>
        <v>1915</v>
      </c>
      <c r="Q7" s="27">
        <v>35</v>
      </c>
      <c r="R7" s="6">
        <f t="shared" si="2"/>
        <v>1880</v>
      </c>
      <c r="S7" s="15"/>
      <c r="T7" s="11"/>
    </row>
    <row r="8" spans="1:20" ht="30" customHeight="1" x14ac:dyDescent="0.3">
      <c r="A8" s="8">
        <v>62</v>
      </c>
      <c r="B8" s="17" t="s">
        <v>35</v>
      </c>
      <c r="C8" s="18">
        <v>76064211</v>
      </c>
      <c r="D8" s="18">
        <v>2591636622</v>
      </c>
      <c r="E8" s="11" t="s">
        <v>6</v>
      </c>
      <c r="F8" s="34" t="s">
        <v>39</v>
      </c>
      <c r="G8" s="11" t="s">
        <v>23</v>
      </c>
      <c r="H8" s="13">
        <v>46238</v>
      </c>
      <c r="I8" s="20"/>
      <c r="J8" s="14" t="s">
        <v>22</v>
      </c>
      <c r="K8" s="31">
        <v>46138</v>
      </c>
      <c r="L8" s="28">
        <v>15</v>
      </c>
      <c r="M8" s="11">
        <v>158</v>
      </c>
      <c r="N8" s="11">
        <f t="shared" si="0"/>
        <v>2370</v>
      </c>
      <c r="O8" s="30">
        <v>450</v>
      </c>
      <c r="P8" s="6">
        <f t="shared" si="3"/>
        <v>1920</v>
      </c>
      <c r="Q8" s="27">
        <v>1885</v>
      </c>
      <c r="R8" s="6">
        <f t="shared" si="2"/>
        <v>35</v>
      </c>
      <c r="S8" s="15"/>
      <c r="T8" s="11"/>
    </row>
    <row r="9" spans="1:20" ht="30" customHeight="1" x14ac:dyDescent="0.3">
      <c r="A9" s="7">
        <v>64</v>
      </c>
      <c r="B9" s="26" t="s">
        <v>36</v>
      </c>
      <c r="C9" s="23">
        <v>76064213</v>
      </c>
      <c r="D9" s="23">
        <v>2607530017</v>
      </c>
      <c r="E9" s="14" t="s">
        <v>6</v>
      </c>
      <c r="F9" s="34" t="s">
        <v>39</v>
      </c>
      <c r="G9" s="14" t="s">
        <v>23</v>
      </c>
      <c r="H9" s="25">
        <v>46238</v>
      </c>
      <c r="I9" s="24"/>
      <c r="J9" s="14" t="s">
        <v>22</v>
      </c>
      <c r="K9" s="31">
        <v>46138</v>
      </c>
      <c r="L9" s="14">
        <v>15</v>
      </c>
      <c r="M9" s="14">
        <v>144</v>
      </c>
      <c r="N9" s="14">
        <f t="shared" si="0"/>
        <v>2160</v>
      </c>
      <c r="O9" s="14">
        <v>200</v>
      </c>
      <c r="P9" s="9">
        <f t="shared" si="3"/>
        <v>1960</v>
      </c>
      <c r="Q9" s="10">
        <v>35</v>
      </c>
      <c r="R9" s="9">
        <f t="shared" si="2"/>
        <v>1925</v>
      </c>
      <c r="S9" s="51"/>
      <c r="T9" s="14"/>
    </row>
    <row r="10" spans="1:20" ht="30" customHeight="1" x14ac:dyDescent="0.3">
      <c r="A10" s="32">
        <v>65</v>
      </c>
      <c r="B10" s="33" t="s">
        <v>27</v>
      </c>
      <c r="C10" s="48">
        <v>76064249</v>
      </c>
      <c r="D10" s="48">
        <v>2632207862</v>
      </c>
      <c r="E10" s="34" t="s">
        <v>6</v>
      </c>
      <c r="F10" s="34" t="s">
        <v>39</v>
      </c>
      <c r="G10" s="34" t="s">
        <v>23</v>
      </c>
      <c r="H10" s="35" t="s">
        <v>29</v>
      </c>
      <c r="I10" s="49"/>
      <c r="J10" s="34" t="s">
        <v>26</v>
      </c>
      <c r="K10" s="36">
        <v>46138</v>
      </c>
      <c r="L10" s="34">
        <v>15</v>
      </c>
      <c r="M10" s="34">
        <v>66.5</v>
      </c>
      <c r="N10" s="34">
        <f t="shared" si="0"/>
        <v>997.5</v>
      </c>
      <c r="O10" s="34">
        <v>600</v>
      </c>
      <c r="P10" s="37">
        <f t="shared" si="3"/>
        <v>397.5</v>
      </c>
      <c r="Q10" s="50">
        <v>397.5</v>
      </c>
      <c r="R10" s="37">
        <f t="shared" si="2"/>
        <v>0</v>
      </c>
      <c r="S10" s="38"/>
      <c r="T10" s="11"/>
    </row>
    <row r="11" spans="1:20" ht="33.75" customHeight="1" x14ac:dyDescent="0.25"/>
    <row r="12" spans="1:20" ht="35.25" customHeight="1" x14ac:dyDescent="0.25"/>
    <row r="13" spans="1:20" ht="35.25" customHeight="1" x14ac:dyDescent="0.25"/>
    <row r="14" spans="1:20" ht="35.25" customHeight="1" x14ac:dyDescent="0.25"/>
    <row r="15" spans="1:20" ht="35.25" customHeight="1" x14ac:dyDescent="0.25"/>
    <row r="16" spans="1:20" ht="35.25" customHeight="1" x14ac:dyDescent="0.25"/>
    <row r="18" spans="1:20" ht="21.75" hidden="1" customHeight="1" x14ac:dyDescent="0.3">
      <c r="A18" s="8">
        <v>71</v>
      </c>
      <c r="B18" s="17" t="s">
        <v>30</v>
      </c>
      <c r="C18" s="18">
        <v>76064235</v>
      </c>
      <c r="D18" s="18">
        <v>2597056080</v>
      </c>
      <c r="E18" s="11" t="s">
        <v>6</v>
      </c>
      <c r="F18" s="12" t="s">
        <v>28</v>
      </c>
      <c r="G18" s="11" t="s">
        <v>23</v>
      </c>
      <c r="H18" s="11" t="s">
        <v>29</v>
      </c>
      <c r="I18" s="39"/>
      <c r="J18" s="40" t="s">
        <v>26</v>
      </c>
      <c r="K18" s="41">
        <v>46138</v>
      </c>
      <c r="L18" s="42">
        <v>15</v>
      </c>
      <c r="M18" s="43">
        <v>81.5</v>
      </c>
      <c r="N18" s="43">
        <f t="shared" ref="N18" si="4">SUM(L18*M18)</f>
        <v>1222.5</v>
      </c>
      <c r="O18" s="44">
        <v>200</v>
      </c>
      <c r="P18" s="22">
        <f t="shared" ref="P18" si="5">SUM(N18-O18)</f>
        <v>1022.5</v>
      </c>
      <c r="Q18" s="45">
        <v>35</v>
      </c>
      <c r="R18" s="22">
        <f t="shared" ref="R18" si="6">SUM(P18-Q18)</f>
        <v>987.5</v>
      </c>
      <c r="S18" s="46"/>
      <c r="T18" s="11"/>
    </row>
    <row r="19" spans="1:20" x14ac:dyDescent="0.25">
      <c r="I19" t="s">
        <v>24</v>
      </c>
    </row>
    <row r="22" spans="1:20" x14ac:dyDescent="0.25">
      <c r="M22" t="s">
        <v>25</v>
      </c>
    </row>
    <row r="23" spans="1:20" x14ac:dyDescent="0.25">
      <c r="O23" t="s">
        <v>5</v>
      </c>
    </row>
    <row r="29" spans="1:20" x14ac:dyDescent="0.25">
      <c r="L29" t="s">
        <v>5</v>
      </c>
    </row>
    <row r="30" spans="1:20" ht="21" x14ac:dyDescent="0.25">
      <c r="I30" s="47"/>
    </row>
  </sheetData>
  <mergeCells count="1">
    <mergeCell ref="A1:T2"/>
  </mergeCells>
  <phoneticPr fontId="2" type="noConversion"/>
  <pageMargins left="0.25" right="0.25" top="0.75" bottom="0.75" header="0.3" footer="0.3"/>
  <pageSetup paperSize="9" scale="27" fitToHeight="0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 SUMMARY-SUPPLIERS</vt:lpstr>
      <vt:lpstr>'PAYMENT SUMMARY-SUPPLIERS'!Print_Area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Expand arabia General Contracting</cp:lastModifiedBy>
  <cp:lastPrinted>2026-08-10T08:42:26Z</cp:lastPrinted>
  <dcterms:created xsi:type="dcterms:W3CDTF">2017-02-25T13:20:25Z</dcterms:created>
  <dcterms:modified xsi:type="dcterms:W3CDTF">2026-08-26T07:24:04Z</dcterms:modified>
</cp:coreProperties>
</file>